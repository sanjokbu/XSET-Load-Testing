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Файлы Саша\Програмирование\Нагруз тест\Лекции поток 2\9_Лекция 14.10.24 JMeter и профиль\"/>
    </mc:Choice>
  </mc:AlternateContent>
  <bookViews>
    <workbookView xWindow="0" yWindow="0" windowWidth="20490" windowHeight="7755" activeTab="1"/>
  </bookViews>
  <sheets>
    <sheet name="Шаг 1" sheetId="1" r:id="rId1"/>
    <sheet name="Шаг 2" sheetId="2" r:id="rId2"/>
  </sheets>
  <calcPr calcId="152511"/>
  <pivotCaches>
    <pivotCache cacheId="45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2" l="1"/>
  <c r="F27" i="1"/>
  <c r="G27" i="1" s="1"/>
  <c r="F33" i="1"/>
  <c r="G33" i="1" s="1"/>
  <c r="F22" i="1"/>
  <c r="G22" i="1" s="1"/>
  <c r="F13" i="1"/>
  <c r="G13" i="1" s="1"/>
  <c r="F6" i="1"/>
  <c r="G6" i="1" s="1"/>
  <c r="E4" i="2" l="1"/>
  <c r="E5" i="2"/>
  <c r="E6" i="2"/>
  <c r="E7" i="2"/>
  <c r="E8" i="2"/>
  <c r="E9" i="2"/>
  <c r="H2" i="2" l="1"/>
  <c r="J6" i="2" l="1"/>
  <c r="F20" i="1" s="1"/>
  <c r="G20" i="1" s="1"/>
  <c r="J4" i="2"/>
  <c r="J5" i="2"/>
  <c r="J7" i="2"/>
  <c r="J8" i="2"/>
  <c r="J9" i="2"/>
  <c r="F35" i="1" l="1"/>
  <c r="F34" i="1"/>
  <c r="F36" i="1"/>
  <c r="F37" i="1"/>
  <c r="F38" i="1"/>
  <c r="F3" i="1"/>
  <c r="F4" i="1"/>
  <c r="F5" i="1"/>
  <c r="F28" i="1"/>
  <c r="F32" i="1"/>
  <c r="F31" i="1"/>
  <c r="F29" i="1"/>
  <c r="F30" i="1"/>
  <c r="F23" i="1"/>
  <c r="F26" i="1"/>
  <c r="F24" i="1"/>
  <c r="F25" i="1"/>
  <c r="F7" i="1"/>
  <c r="F11" i="1"/>
  <c r="F9" i="1"/>
  <c r="F8" i="1"/>
  <c r="F12" i="1"/>
  <c r="F10" i="1"/>
  <c r="F16" i="1"/>
  <c r="F17" i="1"/>
  <c r="F21" i="1"/>
  <c r="F15" i="1"/>
  <c r="F19" i="1"/>
  <c r="F14" i="1"/>
  <c r="F18" i="1"/>
  <c r="F8" i="2"/>
  <c r="F9" i="2"/>
  <c r="I8" i="2"/>
  <c r="I9" i="2"/>
  <c r="I4" i="2"/>
  <c r="I5" i="2"/>
  <c r="I6" i="2"/>
  <c r="I7" i="2"/>
  <c r="F4" i="2"/>
  <c r="F5" i="2"/>
  <c r="F6" i="2"/>
  <c r="F7" i="2"/>
  <c r="G32" i="1" l="1"/>
  <c r="G28" i="1"/>
  <c r="G30" i="1"/>
  <c r="G29" i="1"/>
  <c r="G3" i="1"/>
  <c r="G4" i="1"/>
  <c r="G5" i="1"/>
  <c r="G35" i="1"/>
  <c r="E25" i="2" s="1"/>
  <c r="G38" i="1"/>
  <c r="G34" i="1"/>
  <c r="G37" i="1"/>
  <c r="E27" i="2" s="1"/>
  <c r="G36" i="1"/>
  <c r="E26" i="2" s="1"/>
  <c r="G25" i="1"/>
  <c r="G26" i="1"/>
  <c r="G24" i="1"/>
  <c r="G23" i="1"/>
  <c r="G11" i="1"/>
  <c r="G7" i="1"/>
  <c r="G10" i="1"/>
  <c r="G12" i="1"/>
  <c r="G9" i="1"/>
  <c r="G8" i="1"/>
  <c r="G19" i="1"/>
  <c r="E22" i="2" s="1"/>
  <c r="G15" i="1"/>
  <c r="G21" i="1"/>
  <c r="G18" i="1"/>
  <c r="G14" i="1"/>
  <c r="G17" i="1"/>
  <c r="G16" i="1"/>
  <c r="G31" i="1"/>
  <c r="E24" i="2" s="1"/>
  <c r="E23" i="2" l="1"/>
  <c r="F23" i="2" s="1"/>
  <c r="E16" i="2"/>
  <c r="G22" i="2"/>
  <c r="F22" i="2"/>
  <c r="G27" i="2"/>
  <c r="F27" i="2"/>
  <c r="G24" i="2"/>
  <c r="F24" i="2"/>
  <c r="G26" i="2"/>
  <c r="F26" i="2"/>
  <c r="G25" i="2"/>
  <c r="F25" i="2"/>
  <c r="E18" i="2"/>
  <c r="F18" i="2" s="1"/>
  <c r="E21" i="2"/>
  <c r="G21" i="2" l="1"/>
  <c r="F21" i="2"/>
  <c r="G23" i="2"/>
  <c r="G18" i="2"/>
  <c r="E20" i="2"/>
  <c r="E19" i="2"/>
  <c r="E17" i="2"/>
  <c r="G19" i="2" l="1"/>
  <c r="F19" i="2"/>
  <c r="G20" i="2"/>
  <c r="F20" i="2"/>
  <c r="G17" i="2"/>
  <c r="F17" i="2"/>
  <c r="G16" i="2"/>
  <c r="F16" i="2"/>
</calcChain>
</file>

<file path=xl/sharedStrings.xml><?xml version="1.0" encoding="utf-8"?>
<sst xmlns="http://schemas.openxmlformats.org/spreadsheetml/2006/main" count="122" uniqueCount="40">
  <si>
    <t>Пользовательский сценарий</t>
  </si>
  <si>
    <t>Бизнес операция</t>
  </si>
  <si>
    <t>Логин-Логаут</t>
  </si>
  <si>
    <t>Домашняя страница</t>
  </si>
  <si>
    <t>Логин</t>
  </si>
  <si>
    <t>Выход</t>
  </si>
  <si>
    <t>Поиск билета без оплаты</t>
  </si>
  <si>
    <t>Вкладка билетов</t>
  </si>
  <si>
    <t>Поиск билетов</t>
  </si>
  <si>
    <t>Покупка билета</t>
  </si>
  <si>
    <t>Выбор билета</t>
  </si>
  <si>
    <t>Просмотр списка путевых листов</t>
  </si>
  <si>
    <t>Вкладка путевых листов</t>
  </si>
  <si>
    <t>Пользовательские сценарии</t>
  </si>
  <si>
    <t>Pacing</t>
  </si>
  <si>
    <t>Think time
Общий на сценарий</t>
  </si>
  <si>
    <t>Интенсивность 
операций в час</t>
  </si>
  <si>
    <t>Бизнес операции</t>
  </si>
  <si>
    <t>Think time
на каждую операцию</t>
  </si>
  <si>
    <t>Число выполнений
сценария в мин</t>
  </si>
  <si>
    <t>Количество
операций</t>
  </si>
  <si>
    <t>Распределение
пользователей</t>
  </si>
  <si>
    <t>Количество
пользователей</t>
  </si>
  <si>
    <t>Интенсивность
операций в мин</t>
  </si>
  <si>
    <t>Расчетная
интенсивность
запросов в час</t>
  </si>
  <si>
    <t>Статистическая
интенсивность
запросов в час</t>
  </si>
  <si>
    <t>Удаление существующего бронирования</t>
  </si>
  <si>
    <t>Удаление бронирования</t>
  </si>
  <si>
    <t>Регистрация нового пользователя</t>
  </si>
  <si>
    <t>Вкладка регистрация</t>
  </si>
  <si>
    <t>Заполнить карточку</t>
  </si>
  <si>
    <t>Продолжить</t>
  </si>
  <si>
    <t>Выборка уникальных
Пользовательских сценариев</t>
  </si>
  <si>
    <t>Выборка уникальных
Бизнес операций</t>
  </si>
  <si>
    <t>min Pacing
(Duration + Think time)</t>
  </si>
  <si>
    <t>Разница между
интенсивностями</t>
  </si>
  <si>
    <t>Duration</t>
  </si>
  <si>
    <t>сначала расставить пейсинг при 1 пользователе на каджый сценарий, потом добавлять пользователей и пропорционально увеличивать пейсинг</t>
  </si>
  <si>
    <t>(пусто)</t>
  </si>
  <si>
    <t>Соотвествие расчетной
интенсивности статистике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</si>
</sst>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&quot; сек&quot;"/>
    <numFmt numFmtId="165" formatCode="0.0&quot; Vus&quot;"/>
    <numFmt numFmtId="166" formatCode="0.0%"/>
    <numFmt numFmtId="167" formatCode="0.000&quot; сек&quot;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sz val="11"/>
      <color theme="7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theme="7" tint="-0.249977111117893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theme="1" tint="0.499984740745262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9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" fontId="2" fillId="0" borderId="0" xfId="0" applyNumberFormat="1" applyFont="1"/>
    <xf numFmtId="9" fontId="2" fillId="0" borderId="0" xfId="0" applyNumberFormat="1" applyFont="1"/>
    <xf numFmtId="164" fontId="3" fillId="0" borderId="2" xfId="0" applyNumberFormat="1" applyFont="1" applyBorder="1" applyAlignment="1">
      <alignment horizontal="left" vertical="center"/>
    </xf>
    <xf numFmtId="164" fontId="3" fillId="0" borderId="3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1" fontId="3" fillId="0" borderId="0" xfId="0" applyNumberFormat="1" applyFont="1"/>
    <xf numFmtId="0" fontId="3" fillId="0" borderId="0" xfId="0" applyFont="1"/>
    <xf numFmtId="164" fontId="3" fillId="0" borderId="0" xfId="0" applyNumberFormat="1" applyFont="1"/>
    <xf numFmtId="2" fontId="2" fillId="0" borderId="0" xfId="0" applyNumberFormat="1" applyFont="1"/>
    <xf numFmtId="166" fontId="2" fillId="0" borderId="1" xfId="0" applyNumberFormat="1" applyFont="1" applyBorder="1" applyAlignment="1">
      <alignment horizontal="center" vertical="center"/>
    </xf>
    <xf numFmtId="166" fontId="2" fillId="0" borderId="0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" fontId="0" fillId="0" borderId="0" xfId="0" applyNumberFormat="1" applyAlignment="1"/>
    <xf numFmtId="1" fontId="0" fillId="0" borderId="0" xfId="0" applyNumberFormat="1" applyFont="1" applyAlignment="1"/>
    <xf numFmtId="165" fontId="3" fillId="0" borderId="2" xfId="0" applyNumberFormat="1" applyFont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0" fontId="3" fillId="0" borderId="0" xfId="0" applyNumberFormat="1" applyFont="1" applyFill="1"/>
    <xf numFmtId="0" fontId="4" fillId="0" borderId="0" xfId="0" applyFont="1" applyAlignment="1">
      <alignment horizontal="center"/>
    </xf>
    <xf numFmtId="167" fontId="3" fillId="0" borderId="2" xfId="0" applyNumberFormat="1" applyFont="1" applyBorder="1" applyAlignment="1">
      <alignment horizontal="center" vertical="center"/>
    </xf>
    <xf numFmtId="167" fontId="3" fillId="0" borderId="3" xfId="0" applyNumberFormat="1" applyFont="1" applyBorder="1" applyAlignment="1">
      <alignment horizontal="center" vertical="center"/>
    </xf>
    <xf numFmtId="0" fontId="6" fillId="0" borderId="0" xfId="0" applyFont="1"/>
    <xf numFmtId="164" fontId="6" fillId="0" borderId="0" xfId="0" applyNumberFormat="1" applyFont="1"/>
    <xf numFmtId="0" fontId="0" fillId="3" borderId="4" xfId="0" applyFill="1" applyBorder="1"/>
    <xf numFmtId="0" fontId="0" fillId="0" borderId="4" xfId="0" applyBorder="1"/>
    <xf numFmtId="0" fontId="0" fillId="4" borderId="4" xfId="0" applyFill="1" applyBorder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center"/>
    </xf>
  </cellXfs>
  <cellStyles count="1">
    <cellStyle name="Обычный" xfId="0" builtinId="0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499984740745262"/>
          <bgColor theme="1" tint="0.49998474074526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0" tint="-0.14999847407452621"/>
        </bottom>
      </border>
    </dxf>
    <dxf>
      <font>
        <i/>
      </font>
      <numFmt numFmtId="13" formatCode="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i/>
      </font>
      <numFmt numFmtId="1" formatCode="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" formatCode="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alignment horizontal="left" vertical="bottom" textRotation="0" wrapText="0" indent="0" justifyLastLine="0" shrinkToFit="0" readingOrder="0"/>
    </dxf>
    <dxf>
      <font>
        <i/>
      </font>
    </dxf>
    <dxf>
      <border outline="0"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499984740745262"/>
          <bgColor theme="1" tint="0.499984740745262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5" formatCode="0.0&quot; Vu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7" formatCode="0.000&quot; сек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theme="0" tint="-0.14999847407452621"/>
        </top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499984740745262"/>
          <bgColor theme="1" tint="0.499984740745262"/>
        </patternFill>
      </fill>
      <alignment horizontal="center" vertical="center" textRotation="0" wrapText="1" indent="0" justifyLastLine="0" shrinkToFit="0" readingOrder="0"/>
    </dxf>
    <dxf>
      <font>
        <i val="0"/>
      </font>
    </dxf>
    <dxf>
      <font>
        <i/>
      </font>
      <numFmt numFmtId="1" formatCode="0"/>
      <alignment horizontal="general" vertical="bottom" textRotation="0" wrapText="0" indent="0" justifyLastLine="0" shrinkToFit="0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" formatCode="0"/>
    </dxf>
    <dxf>
      <numFmt numFmtId="1" formatCode="0"/>
      <alignment horizontal="general" vertical="bottom" textRotation="0" wrapText="0" indent="0" justifyLastLine="0" shrinkToFit="0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" formatCode="0"/>
    </dxf>
    <dxf>
      <font>
        <i/>
      </font>
      <numFmt numFmtId="1" formatCode="0"/>
    </dxf>
    <dxf>
      <font>
        <i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</dxf>
    <dxf>
      <font>
        <i/>
        <color theme="7" tint="-0.249977111117893"/>
      </font>
      <numFmt numFmtId="0" formatCode="General"/>
      <fill>
        <patternFill patternType="none">
          <fgColor indexed="64"/>
          <bgColor auto="1"/>
        </patternFill>
      </fill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</dxf>
    <dxf>
      <font>
        <i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ser_i7" refreshedDate="45582.901637384261" createdVersion="5" refreshedVersion="5" minRefreshableVersion="3" recordCount="36">
  <cacheSource type="worksheet">
    <worksheetSource name="Таблица13"/>
  </cacheSource>
  <cacheFields count="6">
    <cacheField name="Пользовательский сценарий" numFmtId="0">
      <sharedItems containsBlank="1" count="7">
        <s v="Логин-Логаут"/>
        <m/>
        <s v="Поиск билета без оплаты"/>
        <s v="Покупка билета"/>
        <s v="Просмотр списка путевых листов"/>
        <s v="Удаление существующего бронирования"/>
        <s v="Регистрация нового пользователя"/>
      </sharedItems>
    </cacheField>
    <cacheField name="Бизнес операция" numFmtId="0">
      <sharedItems containsBlank="1" count="15">
        <s v="Домашняя страница"/>
        <s v="Логин"/>
        <s v="Выход"/>
        <m/>
        <s v="Вкладка билетов"/>
        <s v="Поиск билетов"/>
        <s v="Выбор билета"/>
        <s v="Покупка билета"/>
        <s v="Вкладка путевых листов"/>
        <s v="Удаление бронирования"/>
        <s v="Вкладка регистрация"/>
        <s v="Заполнить карточку"/>
        <s v="Продолжить"/>
        <s v="аня" u="1"/>
        <s v="папа" u="1"/>
      </sharedItems>
    </cacheField>
    <cacheField name="Количество_x000a_операций" numFmtId="0">
      <sharedItems containsString="0" containsBlank="1" containsNumber="1" containsInteger="1" minValue="0" maxValue="1"/>
    </cacheField>
    <cacheField name="Think time_x000a_на каждую операцию" numFmtId="164">
      <sharedItems containsString="0" containsBlank="1" containsNumber="1" containsInteger="1" minValue="5" maxValue="5"/>
    </cacheField>
    <cacheField name="Интенсивность_x000a_операций в мин" numFmtId="2">
      <sharedItems containsSemiMixedTypes="0" containsString="0" containsNumber="1" minValue="0" maxValue="2.7692307692307692"/>
    </cacheField>
    <cacheField name="Интенсивность _x000a_операций в час" numFmtId="1">
      <sharedItems containsSemiMixedTypes="0" containsString="0" containsNumber="1" minValue="0" maxValue="166.153846153846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">
  <r>
    <x v="0"/>
    <x v="0"/>
    <n v="1"/>
    <n v="5"/>
    <n v="0.16901408450704225"/>
    <n v="10.140845070422536"/>
  </r>
  <r>
    <x v="0"/>
    <x v="1"/>
    <n v="1"/>
    <n v="5"/>
    <n v="0.16901408450704225"/>
    <n v="10.140845070422536"/>
  </r>
  <r>
    <x v="0"/>
    <x v="2"/>
    <n v="1"/>
    <n v="5"/>
    <n v="0.16901408450704225"/>
    <n v="10.140845070422536"/>
  </r>
  <r>
    <x v="1"/>
    <x v="3"/>
    <m/>
    <m/>
    <n v="0"/>
    <n v="0"/>
  </r>
  <r>
    <x v="2"/>
    <x v="0"/>
    <n v="1"/>
    <n v="5"/>
    <n v="2.0338983050847457"/>
    <n v="122.03389830508473"/>
  </r>
  <r>
    <x v="2"/>
    <x v="1"/>
    <n v="1"/>
    <n v="5"/>
    <n v="2.0338983050847457"/>
    <n v="122.03389830508473"/>
  </r>
  <r>
    <x v="2"/>
    <x v="4"/>
    <n v="1"/>
    <n v="5"/>
    <n v="2.0338983050847457"/>
    <n v="122.03389830508473"/>
  </r>
  <r>
    <x v="2"/>
    <x v="5"/>
    <n v="1"/>
    <n v="5"/>
    <n v="2.0338983050847457"/>
    <n v="122.03389830508473"/>
  </r>
  <r>
    <x v="2"/>
    <x v="6"/>
    <n v="1"/>
    <n v="5"/>
    <n v="2.0338983050847457"/>
    <n v="122.03389830508473"/>
  </r>
  <r>
    <x v="2"/>
    <x v="2"/>
    <n v="0"/>
    <n v="5"/>
    <n v="0"/>
    <n v="0"/>
  </r>
  <r>
    <x v="1"/>
    <x v="3"/>
    <m/>
    <m/>
    <n v="0"/>
    <n v="0"/>
  </r>
  <r>
    <x v="3"/>
    <x v="0"/>
    <n v="1"/>
    <n v="5"/>
    <n v="2.7692307692307692"/>
    <n v="166.15384615384616"/>
  </r>
  <r>
    <x v="3"/>
    <x v="1"/>
    <n v="1"/>
    <n v="5"/>
    <n v="2.7692307692307692"/>
    <n v="166.15384615384616"/>
  </r>
  <r>
    <x v="3"/>
    <x v="4"/>
    <n v="1"/>
    <n v="5"/>
    <n v="2.7692307692307692"/>
    <n v="166.15384615384616"/>
  </r>
  <r>
    <x v="3"/>
    <x v="5"/>
    <n v="1"/>
    <n v="5"/>
    <n v="2.7692307692307692"/>
    <n v="166.15384615384616"/>
  </r>
  <r>
    <x v="3"/>
    <x v="6"/>
    <n v="1"/>
    <n v="5"/>
    <n v="2.7692307692307692"/>
    <n v="166.15384615384616"/>
  </r>
  <r>
    <x v="3"/>
    <x v="7"/>
    <n v="1"/>
    <n v="5"/>
    <n v="2.7692307692307692"/>
    <n v="166.15384615384616"/>
  </r>
  <r>
    <x v="3"/>
    <x v="8"/>
    <n v="1"/>
    <n v="5"/>
    <n v="2.7692307692307692"/>
    <n v="166.15384615384616"/>
  </r>
  <r>
    <x v="3"/>
    <x v="2"/>
    <n v="1"/>
    <n v="5"/>
    <n v="2.7692307692307692"/>
    <n v="166.15384615384616"/>
  </r>
  <r>
    <x v="1"/>
    <x v="3"/>
    <m/>
    <m/>
    <n v="0"/>
    <n v="0"/>
  </r>
  <r>
    <x v="4"/>
    <x v="0"/>
    <n v="1"/>
    <n v="5"/>
    <n v="0.70588235294117652"/>
    <n v="42.352941176470594"/>
  </r>
  <r>
    <x v="4"/>
    <x v="1"/>
    <n v="1"/>
    <n v="5"/>
    <n v="0.70588235294117652"/>
    <n v="42.352941176470594"/>
  </r>
  <r>
    <x v="4"/>
    <x v="8"/>
    <n v="1"/>
    <n v="5"/>
    <n v="0.70588235294117652"/>
    <n v="42.352941176470594"/>
  </r>
  <r>
    <x v="4"/>
    <x v="2"/>
    <n v="1"/>
    <n v="5"/>
    <n v="0.70588235294117652"/>
    <n v="42.352941176470594"/>
  </r>
  <r>
    <x v="1"/>
    <x v="3"/>
    <m/>
    <m/>
    <n v="0"/>
    <n v="0"/>
  </r>
  <r>
    <x v="5"/>
    <x v="0"/>
    <n v="1"/>
    <n v="5"/>
    <n v="1.2244897959183674"/>
    <n v="73.469387755102048"/>
  </r>
  <r>
    <x v="5"/>
    <x v="1"/>
    <n v="1"/>
    <n v="5"/>
    <n v="1.2244897959183674"/>
    <n v="73.469387755102048"/>
  </r>
  <r>
    <x v="5"/>
    <x v="8"/>
    <n v="1"/>
    <n v="5"/>
    <n v="1.2244897959183674"/>
    <n v="73.469387755102048"/>
  </r>
  <r>
    <x v="5"/>
    <x v="9"/>
    <n v="1"/>
    <n v="5"/>
    <n v="1.2244897959183674"/>
    <n v="73.469387755102048"/>
  </r>
  <r>
    <x v="5"/>
    <x v="2"/>
    <n v="0"/>
    <n v="5"/>
    <n v="0"/>
    <n v="0"/>
  </r>
  <r>
    <x v="1"/>
    <x v="3"/>
    <m/>
    <m/>
    <n v="0"/>
    <n v="0"/>
  </r>
  <r>
    <x v="6"/>
    <x v="0"/>
    <n v="1"/>
    <n v="5"/>
    <n v="1.6216216216216217"/>
    <n v="97.297297297297305"/>
  </r>
  <r>
    <x v="6"/>
    <x v="10"/>
    <n v="1"/>
    <n v="5"/>
    <n v="1.6216216216216217"/>
    <n v="97.297297297297305"/>
  </r>
  <r>
    <x v="6"/>
    <x v="11"/>
    <n v="1"/>
    <n v="5"/>
    <n v="1.6216216216216217"/>
    <n v="97.297297297297305"/>
  </r>
  <r>
    <x v="6"/>
    <x v="12"/>
    <n v="1"/>
    <n v="5"/>
    <n v="1.6216216216216217"/>
    <n v="97.297297297297305"/>
  </r>
  <r>
    <x v="6"/>
    <x v="2"/>
    <n v="1"/>
    <n v="5"/>
    <n v="1.6216216216216217"/>
    <n v="97.2972972972973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45" applyNumberFormats="0" applyBorderFormats="0" applyFontFormats="0" applyPatternFormats="0" applyAlignmentFormats="0" applyWidthHeightFormats="1" dataCaption="Значения" updatedVersion="5" minRefreshableVersion="3" useAutoFormatting="1" rowGrandTotals="0" colGrandTotals="0" itemPrintTitles="1" createdVersion="5" indent="0" outline="1" outlineData="1" multipleFieldFilters="0" rowHeaderCaption="Выборка уникальных_x000a_Бизнес операций">
  <location ref="B15:B28" firstHeaderRow="1" firstDataRow="1" firstDataCol="1"/>
  <pivotFields count="6">
    <pivotField subtotalTop="0" showAll="0" insertBlankRow="1" defaultSubtotal="0"/>
    <pivotField axis="axisRow" subtotalTop="0" showAll="0" insertBlankRow="1" defaultSubtotal="0">
      <items count="15">
        <item x="4"/>
        <item x="2"/>
        <item x="0"/>
        <item x="1"/>
        <item x="5"/>
        <item m="1" x="14"/>
        <item m="1" x="13"/>
        <item x="3"/>
        <item x="6"/>
        <item x="7"/>
        <item x="8"/>
        <item x="9"/>
        <item x="10"/>
        <item x="11"/>
        <item x="12"/>
      </items>
    </pivotField>
    <pivotField showAll="0" defaultSubtotal="0"/>
    <pivotField numFmtId="164" showAll="0" defaultSubtotal="0"/>
    <pivotField numFmtId="2" showAll="0" defaultSubtotal="0"/>
    <pivotField numFmtId="1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formats count="8">
    <format dxfId="29">
      <pivotArea outline="0" collapsedLevelsAreSubtotals="1" fieldPosition="0"/>
    </format>
    <format dxfId="28">
      <pivotArea field="1" type="button" dataOnly="0" labelOnly="1" outline="0" axis="axisRow" fieldPosition="0"/>
    </format>
    <format dxfId="27">
      <pivotArea dataOnly="0" labelOnly="1" outline="0" axis="axisValues" fieldPosition="0"/>
    </format>
    <format dxfId="26">
      <pivotArea field="1" type="button" dataOnly="0" labelOnly="1" outline="0" axis="axisRow" fieldPosition="0"/>
    </format>
    <format dxfId="25">
      <pivotArea dataOnly="0" labelOnly="1" outline="0" axis="axisValues" fieldPosition="0"/>
    </format>
    <format dxfId="24">
      <pivotArea field="1" type="button" dataOnly="0" labelOnly="1" outline="0" axis="axisRow" fieldPosition="0"/>
    </format>
    <format dxfId="23">
      <pivotArea dataOnly="0" labelOnly="1" fieldPosition="0">
        <references count="1">
          <reference field="1" count="0"/>
        </references>
      </pivotArea>
    </format>
    <format dxfId="22">
      <pivotArea dataOnly="0" labelOnly="1" fieldPosition="0">
        <references count="1">
          <reference field="1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Таблица3" cacheId="45" applyNumberFormats="0" applyBorderFormats="0" applyFontFormats="0" applyPatternFormats="0" applyAlignmentFormats="0" applyWidthHeightFormats="1" dataCaption="Значения" updatedVersion="5" minRefreshableVersion="3" useAutoFormatting="1" rowGrandTotals="0" colGrandTotals="0" itemPrintTitles="1" createdVersion="5" indent="0" outline="1" outlineData="1" multipleFieldFilters="0" rowHeaderCaption="Выборка уникальных_x000a_Пользовательских сценариев">
  <location ref="B3:B10" firstHeaderRow="1" firstDataRow="1" firstDataCol="1"/>
  <pivotFields count="6">
    <pivotField axis="axisRow" subtotalTop="0" showAll="0" insertBlankRow="1" defaultSubtotal="0">
      <items count="7">
        <item x="0"/>
        <item x="2"/>
        <item x="3"/>
        <item x="4"/>
        <item x="5"/>
        <item x="6"/>
        <item x="1"/>
      </items>
    </pivotField>
    <pivotField subtotalTop="0" showAll="0" insertBlankRow="1" defaultSubtotal="0">
      <items count="15">
        <item x="4"/>
        <item x="2"/>
        <item x="0"/>
        <item x="1"/>
        <item x="5"/>
        <item m="1" x="14"/>
        <item m="1" x="13"/>
        <item x="3"/>
        <item x="6"/>
        <item x="7"/>
        <item x="8"/>
        <item x="9"/>
        <item x="10"/>
        <item x="11"/>
        <item x="12"/>
      </items>
    </pivotField>
    <pivotField showAll="0" defaultSubtotal="0"/>
    <pivotField numFmtId="164" showAll="0" defaultSubtotal="0"/>
    <pivotField numFmtId="2" showAll="0" defaultSubtotal="0"/>
    <pivotField numFmtId="1" showAll="0" defaultSubtota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formats count="10">
    <format dxfId="39">
      <pivotArea outline="0" collapsedLevelsAreSubtotals="1" fieldPosition="0"/>
    </format>
    <format dxfId="38">
      <pivotArea field="1" type="button" dataOnly="0" labelOnly="1" outline="0"/>
    </format>
    <format dxfId="37">
      <pivotArea dataOnly="0" labelOnly="1" outline="0" axis="axisValues" fieldPosition="0"/>
    </format>
    <format dxfId="36">
      <pivotArea field="1" type="button" dataOnly="0" labelOnly="1" outline="0"/>
    </format>
    <format dxfId="35">
      <pivotArea dataOnly="0" labelOnly="1" outline="0" axis="axisValues" fieldPosition="0"/>
    </format>
    <format dxfId="34">
      <pivotArea field="1" type="button" dataOnly="0" labelOnly="1" outline="0"/>
    </format>
    <format dxfId="33">
      <pivotArea field="0" type="button" dataOnly="0" labelOnly="1" outline="0" axis="axisRow" fieldPosition="0"/>
    </format>
    <format dxfId="32">
      <pivotArea field="0" type="button" dataOnly="0" labelOnly="1" outline="0" axis="axisRow" fieldPosition="0"/>
    </format>
    <format dxfId="31">
      <pivotArea field="0" type="button" dataOnly="0" labelOnly="1" outline="0" axis="axisRow" fieldPosition="0"/>
    </format>
    <format dxfId="30">
      <pivotArea dataOnly="0" labelOnly="1" fieldPosition="0">
        <references count="1">
          <reference field="0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Таблица13" displayName="Таблица13" ref="B2:G38" totalsRowShown="0" headerRowDxfId="0" dataDxfId="46" headerRowBorderDxfId="1">
  <autoFilter ref="B2:G38"/>
  <tableColumns count="6">
    <tableColumn id="1" name="Пользовательский сценарий" dataDxfId="45"/>
    <tableColumn id="2" name="Бизнес операция" dataDxfId="44"/>
    <tableColumn id="3" name="Количество_x000a_операций" dataDxfId="43"/>
    <tableColumn id="7" name="Think time_x000a_на каждую операцию" dataDxfId="42"/>
    <tableColumn id="10" name="Интенсивность_x000a_операций в мин" dataDxfId="41">
      <calculatedColumnFormula>IFERROR(VLOOKUP(Таблица13[[#This Row],[Пользовательский сценарий]],Таблица3[],8,FALSE)*Таблица13[[#This Row],[Количество
операций]],0)</calculatedColumnFormula>
    </tableColumn>
    <tableColumn id="13" name="Интенсивность _x000a_операций в час" dataDxfId="40">
      <calculatedColumnFormula>Таблица13[[#This Row],[Интенсивность
операций в мин]]*60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C3:J9" totalsRowShown="0" headerRowDxfId="21" dataDxfId="19" headerRowBorderDxfId="20" totalsRowBorderDxfId="18">
  <autoFilter ref="C3:J9"/>
  <tableColumns count="8">
    <tableColumn id="7" name="Пользовательские сценарии" dataDxfId="17"/>
    <tableColumn id="1" name="Duration" dataDxfId="16"/>
    <tableColumn id="3" name="Think time_x000a_Общий на сценарий" dataDxfId="15">
      <calculatedColumnFormula>SUMIFS(Таблица13[Think time
на каждую операцию],Таблица13[Пользовательский сценарий],Таблица3[[#This Row],[Пользовательские сценарии]])</calculatedColumnFormula>
    </tableColumn>
    <tableColumn id="2" name="min Pacing_x000a_(Duration + Think time)" dataDxfId="14">
      <calculatedColumnFormula>Таблица3[[#This Row],[Duration]]+Таблица3[[#This Row],[Think time
Общий на сценарий]]</calculatedColumnFormula>
    </tableColumn>
    <tableColumn id="4" name="Pacing" dataDxfId="13"/>
    <tableColumn id="5" name="Количество_x000a_пользователей" dataDxfId="12"/>
    <tableColumn id="10" name="Распределение_x000a_пользователей" dataDxfId="11">
      <calculatedColumnFormula>Таблица3[[#This Row],[Количество
пользователей]]/SUM(Таблица3[Количество
пользователей])</calculatedColumnFormula>
    </tableColumn>
    <tableColumn id="6" name="Число выполнений_x000a_сценария в мин" dataDxfId="10">
      <calculatedColumnFormula>Таблица3[[#This Row],[Количество
пользователей]]*(60/Таблица3[[#This Row],[Pacing]])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C15:G27" totalsRowShown="0" headerRowDxfId="9" dataDxfId="7" headerRowBorderDxfId="8">
  <autoFilter ref="C15:G27"/>
  <tableColumns count="5">
    <tableColumn id="1" name="Бизнес операции" dataDxfId="6"/>
    <tableColumn id="3" name="Статистическая_x000a_интенсивность_x000a_запросов в час" dataDxfId="5"/>
    <tableColumn id="2" name="Расчетная_x000a_интенсивность_x000a_запросов в час" dataDxfId="4">
      <calculatedColumnFormula>SUMIFS(Таблица13[Интенсивность 
операций в час],Таблица13[Бизнес операция],Таблица1[[#This Row],[Бизнес операции]])</calculatedColumnFormula>
    </tableColumn>
    <tableColumn id="4" name="Разница между_x000a_интенсивностями" dataDxfId="3">
      <calculatedColumnFormula>Таблица1[[#This Row],[Статистическая
интенсивность
запросов в час]]-Таблица1[[#This Row],[Расчетная
интенсивность
запросов в час]]</calculatedColumnFormula>
    </tableColumn>
    <tableColumn id="5" name="Соотвествие расчетной_x000a_интенсивности статистике" dataDxfId="2">
      <calculatedColumnFormula>1-Таблица1[[#This Row],[Статистическая
интенсивность
запросов в час]]/Таблица1[[#This Row],[Расчетная
интенсивность
запросов в час]]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H49"/>
  <sheetViews>
    <sheetView zoomScale="70" zoomScaleNormal="70" workbookViewId="0">
      <selection activeCell="B1" sqref="B1:G1048576"/>
    </sheetView>
  </sheetViews>
  <sheetFormatPr defaultRowHeight="15" x14ac:dyDescent="0.25"/>
  <cols>
    <col min="1" max="1" width="3.140625" customWidth="1"/>
    <col min="2" max="2" width="41.140625" bestFit="1" customWidth="1"/>
    <col min="3" max="3" width="26" bestFit="1" customWidth="1"/>
    <col min="4" max="4" width="18.140625" bestFit="1" customWidth="1"/>
    <col min="5" max="5" width="27.7109375" bestFit="1" customWidth="1"/>
    <col min="6" max="6" width="22.42578125" bestFit="1" customWidth="1"/>
    <col min="7" max="7" width="21.5703125" bestFit="1" customWidth="1"/>
    <col min="8" max="8" width="20.140625" bestFit="1" customWidth="1"/>
    <col min="9" max="9" width="26" bestFit="1" customWidth="1"/>
    <col min="10" max="10" width="29.140625" bestFit="1" customWidth="1"/>
    <col min="11" max="11" width="34" bestFit="1" customWidth="1"/>
  </cols>
  <sheetData>
    <row r="1" spans="2:8" x14ac:dyDescent="0.25">
      <c r="E1" s="1"/>
      <c r="F1" s="2"/>
      <c r="G1" s="1"/>
      <c r="H1" s="1"/>
    </row>
    <row r="2" spans="2:8" ht="30" x14ac:dyDescent="0.25">
      <c r="B2" s="6" t="s">
        <v>0</v>
      </c>
      <c r="C2" s="6" t="s">
        <v>1</v>
      </c>
      <c r="D2" s="6" t="s">
        <v>20</v>
      </c>
      <c r="E2" s="6" t="s">
        <v>18</v>
      </c>
      <c r="F2" s="6" t="s">
        <v>23</v>
      </c>
      <c r="G2" s="6" t="s">
        <v>16</v>
      </c>
    </row>
    <row r="3" spans="2:8" x14ac:dyDescent="0.25">
      <c r="B3" s="19" t="s">
        <v>2</v>
      </c>
      <c r="C3" s="19" t="s">
        <v>3</v>
      </c>
      <c r="D3" s="32">
        <v>1</v>
      </c>
      <c r="E3" s="20">
        <v>5</v>
      </c>
      <c r="F3" s="21">
        <f>IFERROR(VLOOKUP(Таблица13[[#This Row],[Пользовательский сценарий]],Таблица3[],8,FALSE)*Таблица13[[#This Row],[Количество
операций]],0)</f>
        <v>0.16901408450704225</v>
      </c>
      <c r="G3" s="13">
        <f>Таблица13[[#This Row],[Интенсивность
операций в мин]]*60</f>
        <v>10.140845070422536</v>
      </c>
      <c r="H3" s="38"/>
    </row>
    <row r="4" spans="2:8" x14ac:dyDescent="0.25">
      <c r="B4" s="19" t="s">
        <v>2</v>
      </c>
      <c r="C4" s="19" t="s">
        <v>4</v>
      </c>
      <c r="D4" s="32">
        <v>1</v>
      </c>
      <c r="E4" s="20">
        <v>5</v>
      </c>
      <c r="F4" s="21">
        <f>IFERROR(VLOOKUP(Таблица13[[#This Row],[Пользовательский сценарий]],Таблица3[],8,FALSE)*Таблица13[[#This Row],[Количество
операций]],0)</f>
        <v>0.16901408450704225</v>
      </c>
      <c r="G4" s="13">
        <f>Таблица13[[#This Row],[Интенсивность
операций в мин]]*60</f>
        <v>10.140845070422536</v>
      </c>
      <c r="H4" s="38"/>
    </row>
    <row r="5" spans="2:8" x14ac:dyDescent="0.25">
      <c r="B5" s="19" t="s">
        <v>2</v>
      </c>
      <c r="C5" s="19" t="s">
        <v>5</v>
      </c>
      <c r="D5" s="32">
        <v>1</v>
      </c>
      <c r="E5" s="20">
        <v>5</v>
      </c>
      <c r="F5" s="21">
        <f>IFERROR(VLOOKUP(Таблица13[[#This Row],[Пользовательский сценарий]],Таблица3[],8,FALSE)*Таблица13[[#This Row],[Количество
операций]],0)</f>
        <v>0.16901408450704225</v>
      </c>
      <c r="G5" s="13">
        <f>Таблица13[[#This Row],[Интенсивность
операций в мин]]*60</f>
        <v>10.140845070422536</v>
      </c>
      <c r="H5" s="38"/>
    </row>
    <row r="6" spans="2:8" x14ac:dyDescent="0.25">
      <c r="B6" s="36"/>
      <c r="C6" s="36"/>
      <c r="D6" s="32"/>
      <c r="E6" s="37"/>
      <c r="F6" s="21">
        <f>IFERROR(VLOOKUP(Таблица13[[#This Row],[Пользовательский сценарий]],Таблица3[],8,FALSE)*Таблица13[[#This Row],[Количество
операций]],0)</f>
        <v>0</v>
      </c>
      <c r="G6" s="13">
        <f>Таблица13[[#This Row],[Интенсивность
операций в мин]]*60</f>
        <v>0</v>
      </c>
      <c r="H6" s="39"/>
    </row>
    <row r="7" spans="2:8" x14ac:dyDescent="0.25">
      <c r="B7" s="19" t="s">
        <v>6</v>
      </c>
      <c r="C7" s="19" t="s">
        <v>3</v>
      </c>
      <c r="D7" s="32">
        <v>1</v>
      </c>
      <c r="E7" s="20">
        <v>5</v>
      </c>
      <c r="F7" s="21">
        <f>IFERROR(VLOOKUP(Таблица13[[#This Row],[Пользовательский сценарий]],Таблица3[],8,FALSE)*Таблица13[[#This Row],[Количество
операций]],0)</f>
        <v>2.0338983050847457</v>
      </c>
      <c r="G7" s="13">
        <f>Таблица13[[#This Row],[Интенсивность
операций в мин]]*60</f>
        <v>122.03389830508473</v>
      </c>
      <c r="H7" s="38"/>
    </row>
    <row r="8" spans="2:8" x14ac:dyDescent="0.25">
      <c r="B8" s="19" t="s">
        <v>6</v>
      </c>
      <c r="C8" s="19" t="s">
        <v>4</v>
      </c>
      <c r="D8" s="32">
        <v>1</v>
      </c>
      <c r="E8" s="20">
        <v>5</v>
      </c>
      <c r="F8" s="21">
        <f>IFERROR(VLOOKUP(Таблица13[[#This Row],[Пользовательский сценарий]],Таблица3[],8,FALSE)*Таблица13[[#This Row],[Количество
операций]],0)</f>
        <v>2.0338983050847457</v>
      </c>
      <c r="G8" s="13">
        <f>Таблица13[[#This Row],[Интенсивность
операций в мин]]*60</f>
        <v>122.03389830508473</v>
      </c>
      <c r="H8" s="38"/>
    </row>
    <row r="9" spans="2:8" x14ac:dyDescent="0.25">
      <c r="B9" s="19" t="s">
        <v>6</v>
      </c>
      <c r="C9" s="19" t="s">
        <v>7</v>
      </c>
      <c r="D9" s="32">
        <v>1</v>
      </c>
      <c r="E9" s="20">
        <v>5</v>
      </c>
      <c r="F9" s="21">
        <f>IFERROR(VLOOKUP(Таблица13[[#This Row],[Пользовательский сценарий]],Таблица3[],8,FALSE)*Таблица13[[#This Row],[Количество
операций]],0)</f>
        <v>2.0338983050847457</v>
      </c>
      <c r="G9" s="13">
        <f>Таблица13[[#This Row],[Интенсивность
операций в мин]]*60</f>
        <v>122.03389830508473</v>
      </c>
      <c r="H9" s="38"/>
    </row>
    <row r="10" spans="2:8" x14ac:dyDescent="0.25">
      <c r="B10" s="19" t="s">
        <v>6</v>
      </c>
      <c r="C10" s="19" t="s">
        <v>8</v>
      </c>
      <c r="D10" s="32">
        <v>1</v>
      </c>
      <c r="E10" s="20">
        <v>5</v>
      </c>
      <c r="F10" s="21">
        <f>IFERROR(VLOOKUP(Таблица13[[#This Row],[Пользовательский сценарий]],Таблица3[],8,FALSE)*Таблица13[[#This Row],[Количество
операций]],0)</f>
        <v>2.0338983050847457</v>
      </c>
      <c r="G10" s="13">
        <f>Таблица13[[#This Row],[Интенсивность
операций в мин]]*60</f>
        <v>122.03389830508473</v>
      </c>
      <c r="H10" s="38"/>
    </row>
    <row r="11" spans="2:8" x14ac:dyDescent="0.25">
      <c r="B11" s="19" t="s">
        <v>6</v>
      </c>
      <c r="C11" s="19" t="s">
        <v>10</v>
      </c>
      <c r="D11" s="32">
        <v>1</v>
      </c>
      <c r="E11" s="20">
        <v>5</v>
      </c>
      <c r="F11" s="21">
        <f>IFERROR(VLOOKUP(Таблица13[[#This Row],[Пользовательский сценарий]],Таблица3[],8,FALSE)*Таблица13[[#This Row],[Количество
операций]],0)</f>
        <v>2.0338983050847457</v>
      </c>
      <c r="G11" s="13">
        <f>Таблица13[[#This Row],[Интенсивность
операций в мин]]*60</f>
        <v>122.03389830508473</v>
      </c>
      <c r="H11" s="38"/>
    </row>
    <row r="12" spans="2:8" x14ac:dyDescent="0.25">
      <c r="B12" s="19" t="s">
        <v>6</v>
      </c>
      <c r="C12" s="19" t="s">
        <v>5</v>
      </c>
      <c r="D12" s="32">
        <v>0</v>
      </c>
      <c r="E12" s="20">
        <v>5</v>
      </c>
      <c r="F12" s="21">
        <f>IFERROR(VLOOKUP(Таблица13[[#This Row],[Пользовательский сценарий]],Таблица3[],8,FALSE)*Таблица13[[#This Row],[Количество
операций]],0)</f>
        <v>0</v>
      </c>
      <c r="G12" s="13">
        <f>Таблица13[[#This Row],[Интенсивность
операций в мин]]*60</f>
        <v>0</v>
      </c>
      <c r="H12" s="40"/>
    </row>
    <row r="13" spans="2:8" x14ac:dyDescent="0.25">
      <c r="B13" s="42"/>
      <c r="C13" s="36"/>
      <c r="D13" s="32"/>
      <c r="E13" s="37"/>
      <c r="F13" s="21">
        <f>IFERROR(VLOOKUP(Таблица13[[#This Row],[Пользовательский сценарий]],Таблица3[],8,FALSE)*Таблица13[[#This Row],[Количество
операций]],0)</f>
        <v>0</v>
      </c>
      <c r="G13" s="13">
        <f>Таблица13[[#This Row],[Интенсивность
операций в мин]]*60</f>
        <v>0</v>
      </c>
      <c r="H13" s="39"/>
    </row>
    <row r="14" spans="2:8" x14ac:dyDescent="0.25">
      <c r="B14" s="19" t="s">
        <v>9</v>
      </c>
      <c r="C14" s="19" t="s">
        <v>3</v>
      </c>
      <c r="D14" s="32">
        <v>1</v>
      </c>
      <c r="E14" s="20">
        <v>5</v>
      </c>
      <c r="F14" s="21">
        <f>IFERROR(VLOOKUP(Таблица13[[#This Row],[Пользовательский сценарий]],Таблица3[],8,FALSE)*Таблица13[[#This Row],[Количество
операций]],0)</f>
        <v>2.7692307692307692</v>
      </c>
      <c r="G14" s="13">
        <f>Таблица13[[#This Row],[Интенсивность
операций в мин]]*60</f>
        <v>166.15384615384616</v>
      </c>
      <c r="H14" s="38"/>
    </row>
    <row r="15" spans="2:8" x14ac:dyDescent="0.25">
      <c r="B15" s="19" t="s">
        <v>9</v>
      </c>
      <c r="C15" s="19" t="s">
        <v>4</v>
      </c>
      <c r="D15" s="32">
        <v>1</v>
      </c>
      <c r="E15" s="20">
        <v>5</v>
      </c>
      <c r="F15" s="21">
        <f>IFERROR(VLOOKUP(Таблица13[[#This Row],[Пользовательский сценарий]],Таблица3[],8,FALSE)*Таблица13[[#This Row],[Количество
операций]],0)</f>
        <v>2.7692307692307692</v>
      </c>
      <c r="G15" s="13">
        <f>Таблица13[[#This Row],[Интенсивность
операций в мин]]*60</f>
        <v>166.15384615384616</v>
      </c>
      <c r="H15" s="38"/>
    </row>
    <row r="16" spans="2:8" x14ac:dyDescent="0.25">
      <c r="B16" s="19" t="s">
        <v>9</v>
      </c>
      <c r="C16" s="19" t="s">
        <v>7</v>
      </c>
      <c r="D16" s="32">
        <v>1</v>
      </c>
      <c r="E16" s="20">
        <v>5</v>
      </c>
      <c r="F16" s="21">
        <f>IFERROR(VLOOKUP(Таблица13[[#This Row],[Пользовательский сценарий]],Таблица3[],8,FALSE)*Таблица13[[#This Row],[Количество
операций]],0)</f>
        <v>2.7692307692307692</v>
      </c>
      <c r="G16" s="13">
        <f>Таблица13[[#This Row],[Интенсивность
операций в мин]]*60</f>
        <v>166.15384615384616</v>
      </c>
      <c r="H16" s="38"/>
    </row>
    <row r="17" spans="2:8" x14ac:dyDescent="0.25">
      <c r="B17" s="19" t="s">
        <v>9</v>
      </c>
      <c r="C17" s="19" t="s">
        <v>8</v>
      </c>
      <c r="D17" s="32">
        <v>1</v>
      </c>
      <c r="E17" s="20">
        <v>5</v>
      </c>
      <c r="F17" s="21">
        <f>IFERROR(VLOOKUP(Таблица13[[#This Row],[Пользовательский сценарий]],Таблица3[],8,FALSE)*Таблица13[[#This Row],[Количество
операций]],0)</f>
        <v>2.7692307692307692</v>
      </c>
      <c r="G17" s="13">
        <f>Таблица13[[#This Row],[Интенсивность
операций в мин]]*60</f>
        <v>166.15384615384616</v>
      </c>
      <c r="H17" s="38"/>
    </row>
    <row r="18" spans="2:8" x14ac:dyDescent="0.25">
      <c r="B18" s="19" t="s">
        <v>9</v>
      </c>
      <c r="C18" s="19" t="s">
        <v>10</v>
      </c>
      <c r="D18" s="32">
        <v>1</v>
      </c>
      <c r="E18" s="20">
        <v>5</v>
      </c>
      <c r="F18" s="21">
        <f>IFERROR(VLOOKUP(Таблица13[[#This Row],[Пользовательский сценарий]],Таблица3[],8,FALSE)*Таблица13[[#This Row],[Количество
операций]],0)</f>
        <v>2.7692307692307692</v>
      </c>
      <c r="G18" s="13">
        <f>Таблица13[[#This Row],[Интенсивность
операций в мин]]*60</f>
        <v>166.15384615384616</v>
      </c>
      <c r="H18" s="38"/>
    </row>
    <row r="19" spans="2:8" x14ac:dyDescent="0.25">
      <c r="B19" s="19" t="s">
        <v>9</v>
      </c>
      <c r="C19" s="19" t="s">
        <v>9</v>
      </c>
      <c r="D19" s="32">
        <v>1</v>
      </c>
      <c r="E19" s="20">
        <v>5</v>
      </c>
      <c r="F19" s="21">
        <f>IFERROR(VLOOKUP(Таблица13[[#This Row],[Пользовательский сценарий]],Таблица3[],8,FALSE)*Таблица13[[#This Row],[Количество
операций]],0)</f>
        <v>2.7692307692307692</v>
      </c>
      <c r="G19" s="13">
        <f>Таблица13[[#This Row],[Интенсивность
операций в мин]]*60</f>
        <v>166.15384615384616</v>
      </c>
      <c r="H19" s="38"/>
    </row>
    <row r="20" spans="2:8" x14ac:dyDescent="0.25">
      <c r="B20" s="19" t="s">
        <v>9</v>
      </c>
      <c r="C20" s="19" t="s">
        <v>12</v>
      </c>
      <c r="D20" s="32">
        <v>1</v>
      </c>
      <c r="E20" s="20">
        <v>5</v>
      </c>
      <c r="F20" s="21">
        <f>IFERROR(VLOOKUP(Таблица13[[#This Row],[Пользовательский сценарий]],Таблица3[],8,FALSE)*Таблица13[[#This Row],[Количество
операций]],0)</f>
        <v>2.7692307692307692</v>
      </c>
      <c r="G20" s="13">
        <f>Таблица13[[#This Row],[Интенсивность
операций в мин]]*60</f>
        <v>166.15384615384616</v>
      </c>
      <c r="H20" s="40"/>
    </row>
    <row r="21" spans="2:8" x14ac:dyDescent="0.25">
      <c r="B21" s="19" t="s">
        <v>9</v>
      </c>
      <c r="C21" s="19" t="s">
        <v>5</v>
      </c>
      <c r="D21" s="32">
        <v>1</v>
      </c>
      <c r="E21" s="20">
        <v>5</v>
      </c>
      <c r="F21" s="21">
        <f>IFERROR(VLOOKUP(Таблица13[[#This Row],[Пользовательский сценарий]],Таблица3[],8,FALSE)*Таблица13[[#This Row],[Количество
операций]],0)</f>
        <v>2.7692307692307692</v>
      </c>
      <c r="G21" s="13">
        <f>Таблица13[[#This Row],[Интенсивность
операций в мин]]*60</f>
        <v>166.15384615384616</v>
      </c>
      <c r="H21" s="38"/>
    </row>
    <row r="22" spans="2:8" x14ac:dyDescent="0.25">
      <c r="B22" s="42"/>
      <c r="C22" s="36"/>
      <c r="D22" s="32"/>
      <c r="E22" s="37"/>
      <c r="F22" s="21">
        <f>IFERROR(VLOOKUP(Таблица13[[#This Row],[Пользовательский сценарий]],Таблица3[],8,FALSE)*Таблица13[[#This Row],[Количество
операций]],0)</f>
        <v>0</v>
      </c>
      <c r="G22" s="13">
        <f>Таблица13[[#This Row],[Интенсивность
операций в мин]]*60</f>
        <v>0</v>
      </c>
      <c r="H22" s="39"/>
    </row>
    <row r="23" spans="2:8" x14ac:dyDescent="0.25">
      <c r="B23" s="19" t="s">
        <v>11</v>
      </c>
      <c r="C23" s="19" t="s">
        <v>3</v>
      </c>
      <c r="D23" s="32">
        <v>1</v>
      </c>
      <c r="E23" s="20">
        <v>5</v>
      </c>
      <c r="F23" s="21">
        <f>IFERROR(VLOOKUP(Таблица13[[#This Row],[Пользовательский сценарий]],Таблица3[],8,FALSE)*Таблица13[[#This Row],[Количество
операций]],0)</f>
        <v>0.70588235294117652</v>
      </c>
      <c r="G23" s="13">
        <f>Таблица13[[#This Row],[Интенсивность
операций в мин]]*60</f>
        <v>42.352941176470594</v>
      </c>
      <c r="H23" s="38"/>
    </row>
    <row r="24" spans="2:8" x14ac:dyDescent="0.25">
      <c r="B24" s="19" t="s">
        <v>11</v>
      </c>
      <c r="C24" s="19" t="s">
        <v>4</v>
      </c>
      <c r="D24" s="32">
        <v>1</v>
      </c>
      <c r="E24" s="20">
        <v>5</v>
      </c>
      <c r="F24" s="21">
        <f>IFERROR(VLOOKUP(Таблица13[[#This Row],[Пользовательский сценарий]],Таблица3[],8,FALSE)*Таблица13[[#This Row],[Количество
операций]],0)</f>
        <v>0.70588235294117652</v>
      </c>
      <c r="G24" s="13">
        <f>Таблица13[[#This Row],[Интенсивность
операций в мин]]*60</f>
        <v>42.352941176470594</v>
      </c>
      <c r="H24" s="38"/>
    </row>
    <row r="25" spans="2:8" x14ac:dyDescent="0.25">
      <c r="B25" s="19" t="s">
        <v>11</v>
      </c>
      <c r="C25" s="19" t="s">
        <v>12</v>
      </c>
      <c r="D25" s="32">
        <v>1</v>
      </c>
      <c r="E25" s="20">
        <v>5</v>
      </c>
      <c r="F25" s="21">
        <f>IFERROR(VLOOKUP(Таблица13[[#This Row],[Пользовательский сценарий]],Таблица3[],8,FALSE)*Таблица13[[#This Row],[Количество
операций]],0)</f>
        <v>0.70588235294117652</v>
      </c>
      <c r="G25" s="13">
        <f>Таблица13[[#This Row],[Интенсивность
операций в мин]]*60</f>
        <v>42.352941176470594</v>
      </c>
      <c r="H25" s="38"/>
    </row>
    <row r="26" spans="2:8" x14ac:dyDescent="0.25">
      <c r="B26" s="19" t="s">
        <v>11</v>
      </c>
      <c r="C26" s="19" t="s">
        <v>5</v>
      </c>
      <c r="D26" s="32">
        <v>1</v>
      </c>
      <c r="E26" s="20">
        <v>5</v>
      </c>
      <c r="F26" s="21">
        <f>IFERROR(VLOOKUP(Таблица13[[#This Row],[Пользовательский сценарий]],Таблица3[],8,FALSE)*Таблица13[[#This Row],[Количество
операций]],0)</f>
        <v>0.70588235294117652</v>
      </c>
      <c r="G26" s="13">
        <f>Таблица13[[#This Row],[Интенсивность
операций в мин]]*60</f>
        <v>42.352941176470594</v>
      </c>
      <c r="H26" s="38"/>
    </row>
    <row r="27" spans="2:8" x14ac:dyDescent="0.25">
      <c r="B27" s="42"/>
      <c r="C27" s="36"/>
      <c r="D27" s="32"/>
      <c r="E27" s="37"/>
      <c r="F27" s="21">
        <f>IFERROR(VLOOKUP(Таблица13[[#This Row],[Пользовательский сценарий]],Таблица3[],8,FALSE)*Таблица13[[#This Row],[Количество
операций]],0)</f>
        <v>0</v>
      </c>
      <c r="G27" s="13">
        <f>Таблица13[[#This Row],[Интенсивность
операций в мин]]*60</f>
        <v>0</v>
      </c>
      <c r="H27" s="39"/>
    </row>
    <row r="28" spans="2:8" x14ac:dyDescent="0.25">
      <c r="B28" s="19" t="s">
        <v>26</v>
      </c>
      <c r="C28" s="19" t="s">
        <v>3</v>
      </c>
      <c r="D28" s="32">
        <v>1</v>
      </c>
      <c r="E28" s="20">
        <v>5</v>
      </c>
      <c r="F28" s="21">
        <f>IFERROR(VLOOKUP(Таблица13[[#This Row],[Пользовательский сценарий]],Таблица3[],8,FALSE)*Таблица13[[#This Row],[Количество
операций]],0)</f>
        <v>1.2244897959183674</v>
      </c>
      <c r="G28" s="13">
        <f>Таблица13[[#This Row],[Интенсивность
операций в мин]]*60</f>
        <v>73.469387755102048</v>
      </c>
      <c r="H28" s="38"/>
    </row>
    <row r="29" spans="2:8" x14ac:dyDescent="0.25">
      <c r="B29" s="19" t="s">
        <v>26</v>
      </c>
      <c r="C29" s="19" t="s">
        <v>4</v>
      </c>
      <c r="D29" s="32">
        <v>1</v>
      </c>
      <c r="E29" s="20">
        <v>5</v>
      </c>
      <c r="F29" s="21">
        <f>IFERROR(VLOOKUP(Таблица13[[#This Row],[Пользовательский сценарий]],Таблица3[],8,FALSE)*Таблица13[[#This Row],[Количество
операций]],0)</f>
        <v>1.2244897959183674</v>
      </c>
      <c r="G29" s="13">
        <f>Таблица13[[#This Row],[Интенсивность
операций в мин]]*60</f>
        <v>73.469387755102048</v>
      </c>
      <c r="H29" s="38"/>
    </row>
    <row r="30" spans="2:8" x14ac:dyDescent="0.25">
      <c r="B30" s="19" t="s">
        <v>26</v>
      </c>
      <c r="C30" s="19" t="s">
        <v>12</v>
      </c>
      <c r="D30" s="32">
        <v>1</v>
      </c>
      <c r="E30" s="20">
        <v>5</v>
      </c>
      <c r="F30" s="21">
        <f>IFERROR(VLOOKUP(Таблица13[[#This Row],[Пользовательский сценарий]],Таблица3[],8,FALSE)*Таблица13[[#This Row],[Количество
операций]],0)</f>
        <v>1.2244897959183674</v>
      </c>
      <c r="G30" s="13">
        <f>Таблица13[[#This Row],[Интенсивность
операций в мин]]*60</f>
        <v>73.469387755102048</v>
      </c>
      <c r="H30" s="38"/>
    </row>
    <row r="31" spans="2:8" x14ac:dyDescent="0.25">
      <c r="B31" s="19" t="s">
        <v>26</v>
      </c>
      <c r="C31" s="19" t="s">
        <v>27</v>
      </c>
      <c r="D31" s="32">
        <v>1</v>
      </c>
      <c r="E31" s="20">
        <v>5</v>
      </c>
      <c r="F31" s="21">
        <f>IFERROR(VLOOKUP(Таблица13[[#This Row],[Пользовательский сценарий]],Таблица3[],8,FALSE)*Таблица13[[#This Row],[Количество
операций]],0)</f>
        <v>1.2244897959183674</v>
      </c>
      <c r="G31" s="13">
        <f>Таблица13[[#This Row],[Интенсивность
операций в мин]]*60</f>
        <v>73.469387755102048</v>
      </c>
      <c r="H31" s="38"/>
    </row>
    <row r="32" spans="2:8" x14ac:dyDescent="0.25">
      <c r="B32" s="19" t="s">
        <v>26</v>
      </c>
      <c r="C32" s="19" t="s">
        <v>5</v>
      </c>
      <c r="D32" s="32">
        <v>0</v>
      </c>
      <c r="E32" s="20">
        <v>5</v>
      </c>
      <c r="F32" s="21">
        <f>IFERROR(VLOOKUP(Таблица13[[#This Row],[Пользовательский сценарий]],Таблица3[],8,FALSE)*Таблица13[[#This Row],[Количество
операций]],0)</f>
        <v>0</v>
      </c>
      <c r="G32" s="13">
        <f>Таблица13[[#This Row],[Интенсивность
операций в мин]]*60</f>
        <v>0</v>
      </c>
      <c r="H32" s="40"/>
    </row>
    <row r="33" spans="2:8" x14ac:dyDescent="0.25">
      <c r="B33" s="42"/>
      <c r="C33" s="36"/>
      <c r="D33" s="32"/>
      <c r="E33" s="37"/>
      <c r="F33" s="21">
        <f>IFERROR(VLOOKUP(Таблица13[[#This Row],[Пользовательский сценарий]],Таблица3[],8,FALSE)*Таблица13[[#This Row],[Количество
операций]],0)</f>
        <v>0</v>
      </c>
      <c r="G33" s="13">
        <f>Таблица13[[#This Row],[Интенсивность
операций в мин]]*60</f>
        <v>0</v>
      </c>
      <c r="H33" s="39"/>
    </row>
    <row r="34" spans="2:8" x14ac:dyDescent="0.25">
      <c r="B34" s="19" t="s">
        <v>28</v>
      </c>
      <c r="C34" s="19" t="s">
        <v>3</v>
      </c>
      <c r="D34" s="32">
        <v>1</v>
      </c>
      <c r="E34" s="20">
        <v>5</v>
      </c>
      <c r="F34" s="21">
        <f>IFERROR(VLOOKUP(Таблица13[[#This Row],[Пользовательский сценарий]],Таблица3[],8,FALSE)*Таблица13[[#This Row],[Количество
операций]],0)</f>
        <v>1.6216216216216217</v>
      </c>
      <c r="G34" s="13">
        <f>Таблица13[[#This Row],[Интенсивность
операций в мин]]*60</f>
        <v>97.297297297297305</v>
      </c>
      <c r="H34" s="38"/>
    </row>
    <row r="35" spans="2:8" x14ac:dyDescent="0.25">
      <c r="B35" s="19" t="s">
        <v>28</v>
      </c>
      <c r="C35" s="19" t="s">
        <v>29</v>
      </c>
      <c r="D35" s="32">
        <v>1</v>
      </c>
      <c r="E35" s="20">
        <v>5</v>
      </c>
      <c r="F35" s="21">
        <f>IFERROR(VLOOKUP(Таблица13[[#This Row],[Пользовательский сценарий]],Таблица3[],8,FALSE)*Таблица13[[#This Row],[Количество
операций]],0)</f>
        <v>1.6216216216216217</v>
      </c>
      <c r="G35" s="13">
        <f>Таблица13[[#This Row],[Интенсивность
операций в мин]]*60</f>
        <v>97.297297297297305</v>
      </c>
      <c r="H35" s="38"/>
    </row>
    <row r="36" spans="2:8" x14ac:dyDescent="0.25">
      <c r="B36" s="19" t="s">
        <v>28</v>
      </c>
      <c r="C36" s="19" t="s">
        <v>30</v>
      </c>
      <c r="D36" s="32">
        <v>1</v>
      </c>
      <c r="E36" s="20">
        <v>5</v>
      </c>
      <c r="F36" s="21">
        <f>IFERROR(VLOOKUP(Таблица13[[#This Row],[Пользовательский сценарий]],Таблица3[],8,FALSE)*Таблица13[[#This Row],[Количество
операций]],0)</f>
        <v>1.6216216216216217</v>
      </c>
      <c r="G36" s="13">
        <f>Таблица13[[#This Row],[Интенсивность
операций в мин]]*60</f>
        <v>97.297297297297305</v>
      </c>
      <c r="H36" s="38"/>
    </row>
    <row r="37" spans="2:8" x14ac:dyDescent="0.25">
      <c r="B37" s="19" t="s">
        <v>28</v>
      </c>
      <c r="C37" s="19" t="s">
        <v>31</v>
      </c>
      <c r="D37" s="32">
        <v>1</v>
      </c>
      <c r="E37" s="20">
        <v>5</v>
      </c>
      <c r="F37" s="21">
        <f>IFERROR(VLOOKUP(Таблица13[[#This Row],[Пользовательский сценарий]],Таблица3[],8,FALSE)*Таблица13[[#This Row],[Количество
операций]],0)</f>
        <v>1.6216216216216217</v>
      </c>
      <c r="G37" s="13">
        <f>Таблица13[[#This Row],[Интенсивность
операций в мин]]*60</f>
        <v>97.297297297297305</v>
      </c>
      <c r="H37" s="38"/>
    </row>
    <row r="38" spans="2:8" x14ac:dyDescent="0.25">
      <c r="B38" s="19" t="s">
        <v>28</v>
      </c>
      <c r="C38" s="19" t="s">
        <v>5</v>
      </c>
      <c r="D38" s="32">
        <v>1</v>
      </c>
      <c r="E38" s="20">
        <v>5</v>
      </c>
      <c r="F38" s="21">
        <f>IFERROR(VLOOKUP(Таблица13[[#This Row],[Пользовательский сценарий]],Таблица3[],8,FALSE)*Таблица13[[#This Row],[Количество
операций]],0)</f>
        <v>1.6216216216216217</v>
      </c>
      <c r="G38" s="13">
        <f>Таблица13[[#This Row],[Интенсивность
операций в мин]]*60</f>
        <v>97.297297297297305</v>
      </c>
      <c r="H38" s="38"/>
    </row>
    <row r="41" spans="2:8" x14ac:dyDescent="0.25">
      <c r="B41" s="4"/>
      <c r="D41" s="3"/>
    </row>
    <row r="49" spans="6:6" x14ac:dyDescent="0.25">
      <c r="F49" s="3"/>
    </row>
  </sheetData>
  <dataConsolidate topLabels="1">
    <dataRefs count="1">
      <dataRef name="Таблица1"/>
    </dataRefs>
  </dataConsolidate>
  <conditionalFormatting sqref="D3:D19 D21:D38">
    <cfRule type="cellIs" dxfId="48" priority="3" operator="equal">
      <formula>0</formula>
    </cfRule>
  </conditionalFormatting>
  <conditionalFormatting sqref="D20">
    <cfRule type="cellIs" dxfId="47" priority="1" operator="equal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J28"/>
  <sheetViews>
    <sheetView tabSelected="1" topLeftCell="A4" zoomScale="70" zoomScaleNormal="70" workbookViewId="0">
      <selection activeCell="H17" sqref="H17"/>
    </sheetView>
  </sheetViews>
  <sheetFormatPr defaultRowHeight="15" x14ac:dyDescent="0.25"/>
  <cols>
    <col min="1" max="1" width="3.28515625" customWidth="1"/>
    <col min="2" max="2" width="39.5703125" customWidth="1"/>
    <col min="3" max="3" width="41.140625" bestFit="1" customWidth="1"/>
    <col min="4" max="4" width="21.7109375" customWidth="1"/>
    <col min="5" max="5" width="25" customWidth="1"/>
    <col min="6" max="6" width="26.85546875" customWidth="1"/>
    <col min="7" max="7" width="31.5703125" bestFit="1" customWidth="1"/>
    <col min="8" max="8" width="21" bestFit="1" customWidth="1"/>
    <col min="9" max="9" width="21.42578125" bestFit="1" customWidth="1"/>
    <col min="10" max="10" width="24.28515625" bestFit="1" customWidth="1"/>
  </cols>
  <sheetData>
    <row r="2" spans="2:10" x14ac:dyDescent="0.25">
      <c r="C2" s="41" t="s">
        <v>37</v>
      </c>
      <c r="D2" s="41"/>
      <c r="E2" s="41"/>
      <c r="F2" s="41"/>
      <c r="G2" s="41"/>
      <c r="H2" s="33">
        <f>SUM(Таблица3[Количество
пользователей])</f>
        <v>10</v>
      </c>
    </row>
    <row r="3" spans="2:10" ht="45" x14ac:dyDescent="0.25">
      <c r="B3" s="5" t="s">
        <v>32</v>
      </c>
      <c r="C3" s="6" t="s">
        <v>13</v>
      </c>
      <c r="D3" s="6" t="s">
        <v>36</v>
      </c>
      <c r="E3" s="6" t="s">
        <v>15</v>
      </c>
      <c r="F3" s="6" t="s">
        <v>34</v>
      </c>
      <c r="G3" s="6" t="s">
        <v>14</v>
      </c>
      <c r="H3" s="6" t="s">
        <v>22</v>
      </c>
      <c r="I3" s="6" t="s">
        <v>21</v>
      </c>
      <c r="J3" s="6" t="s">
        <v>19</v>
      </c>
    </row>
    <row r="4" spans="2:10" x14ac:dyDescent="0.25">
      <c r="B4" s="25" t="s">
        <v>2</v>
      </c>
      <c r="C4" s="18" t="s">
        <v>2</v>
      </c>
      <c r="D4" s="34">
        <v>0.70699999999999996</v>
      </c>
      <c r="E4" s="8">
        <f>SUMIFS(Таблица13[Think time
на каждую операцию],Таблица13[Пользовательский сценарий],Таблица3[[#This Row],[Пользовательские сценарии]])</f>
        <v>15</v>
      </c>
      <c r="F4" s="8">
        <f>Таблица3[[#This Row],[Duration]]+Таблица3[[#This Row],[Think time
Общий на сценарий]]</f>
        <v>15.707000000000001</v>
      </c>
      <c r="G4" s="7">
        <v>355</v>
      </c>
      <c r="H4" s="9">
        <v>1</v>
      </c>
      <c r="I4" s="22">
        <f>Таблица3[[#This Row],[Количество
пользователей]]/SUM(Таблица3[Количество
пользователей])</f>
        <v>0.1</v>
      </c>
      <c r="J4" s="29">
        <f>Таблица3[[#This Row],[Количество
пользователей]]*(60/Таблица3[[#This Row],[Pacing]])</f>
        <v>0.16901408450704225</v>
      </c>
    </row>
    <row r="5" spans="2:10" x14ac:dyDescent="0.25">
      <c r="B5" s="25" t="s">
        <v>6</v>
      </c>
      <c r="C5" s="18" t="s">
        <v>6</v>
      </c>
      <c r="D5" s="34">
        <v>1.2390000000000001</v>
      </c>
      <c r="E5" s="8">
        <f>SUMIFS(Таблица13[Think time
на каждую операцию],Таблица13[Пользовательский сценарий],Таблица3[[#This Row],[Пользовательские сценарии]])</f>
        <v>30</v>
      </c>
      <c r="F5" s="8">
        <f>Таблица3[[#This Row],[Duration]]+Таблица3[[#This Row],[Think time
Общий на сценарий]]</f>
        <v>31.239000000000001</v>
      </c>
      <c r="G5" s="7">
        <f>29.5*2</f>
        <v>59</v>
      </c>
      <c r="H5" s="9">
        <v>2</v>
      </c>
      <c r="I5" s="22">
        <f>Таблица3[[#This Row],[Количество
пользователей]]/SUM(Таблица3[Количество
пользователей])</f>
        <v>0.2</v>
      </c>
      <c r="J5" s="30">
        <f>Таблица3[[#This Row],[Количество
пользователей]]*(60/Таблица3[[#This Row],[Pacing]])</f>
        <v>2.0338983050847457</v>
      </c>
    </row>
    <row r="6" spans="2:10" x14ac:dyDescent="0.25">
      <c r="B6" s="25" t="s">
        <v>9</v>
      </c>
      <c r="C6" s="18" t="s">
        <v>9</v>
      </c>
      <c r="D6" s="34">
        <v>1.2190000000000001</v>
      </c>
      <c r="E6" s="8">
        <f>SUMIFS(Таблица13[Think time
на каждую операцию],Таблица13[Пользовательский сценарий],Таблица3[[#This Row],[Пользовательские сценарии]])</f>
        <v>40</v>
      </c>
      <c r="F6" s="8">
        <f>Таблица3[[#This Row],[Duration]]+Таблица3[[#This Row],[Think time
Общий на сценарий]]</f>
        <v>41.219000000000001</v>
      </c>
      <c r="G6" s="7">
        <v>65</v>
      </c>
      <c r="H6" s="9">
        <v>3</v>
      </c>
      <c r="I6" s="22">
        <f>Таблица3[[#This Row],[Количество
пользователей]]/SUM(Таблица3[Количество
пользователей])</f>
        <v>0.3</v>
      </c>
      <c r="J6" s="30">
        <f>Таблица3[[#This Row],[Количество
пользователей]]*(60/Таблица3[[#This Row],[Pacing]])</f>
        <v>2.7692307692307692</v>
      </c>
    </row>
    <row r="7" spans="2:10" x14ac:dyDescent="0.25">
      <c r="B7" s="25" t="s">
        <v>11</v>
      </c>
      <c r="C7" s="18" t="s">
        <v>11</v>
      </c>
      <c r="D7" s="35">
        <v>0.97799999999999998</v>
      </c>
      <c r="E7" s="8">
        <f>SUMIFS(Таблица13[Think time
на каждую операцию],Таблица13[Пользовательский сценарий],Таблица3[[#This Row],[Пользовательские сценарии]])</f>
        <v>20</v>
      </c>
      <c r="F7" s="8">
        <f>Таблица3[[#This Row],[Duration]]+Таблица3[[#This Row],[Think time
Общий на сценарий]]</f>
        <v>20.978000000000002</v>
      </c>
      <c r="G7" s="11">
        <v>85</v>
      </c>
      <c r="H7" s="9">
        <v>1</v>
      </c>
      <c r="I7" s="23">
        <f>Таблица3[[#This Row],[Количество
пользователей]]/SUM(Таблица3[Количество
пользователей])</f>
        <v>0.1</v>
      </c>
      <c r="J7" s="31">
        <f>Таблица3[[#This Row],[Количество
пользователей]]*(60/Таблица3[[#This Row],[Pacing]])</f>
        <v>0.70588235294117652</v>
      </c>
    </row>
    <row r="8" spans="2:10" x14ac:dyDescent="0.25">
      <c r="B8" s="25" t="s">
        <v>26</v>
      </c>
      <c r="C8" s="15" t="s">
        <v>26</v>
      </c>
      <c r="D8" s="34">
        <v>1.194</v>
      </c>
      <c r="E8" s="8">
        <f>SUMIFS(Таблица13[Think time
на каждую операцию],Таблица13[Пользовательский сценарий],Таблица3[[#This Row],[Пользовательские сценарии]])</f>
        <v>25</v>
      </c>
      <c r="F8" s="10">
        <f>Таблица3[[#This Row],[Duration]]+Таблица3[[#This Row],[Think time
Общий на сценарий]]</f>
        <v>26.193999999999999</v>
      </c>
      <c r="G8" s="7">
        <v>49</v>
      </c>
      <c r="H8" s="27">
        <v>1</v>
      </c>
      <c r="I8" s="22">
        <f>Таблица3[[#This Row],[Количество
пользователей]]/SUM(Таблица3[Количество
пользователей])</f>
        <v>0.1</v>
      </c>
      <c r="J8" s="30">
        <f>Таблица3[[#This Row],[Количество
пользователей]]*(60/Таблица3[[#This Row],[Pacing]])</f>
        <v>1.2244897959183674</v>
      </c>
    </row>
    <row r="9" spans="2:10" x14ac:dyDescent="0.25">
      <c r="B9" s="25" t="s">
        <v>28</v>
      </c>
      <c r="C9" s="16" t="s">
        <v>28</v>
      </c>
      <c r="D9" s="35">
        <v>0.90800000000000003</v>
      </c>
      <c r="E9" s="24">
        <f>SUMIFS(Таблица13[Think time
на каждую операцию],Таблица13[Пользовательский сценарий],Таблица3[[#This Row],[Пользовательские сценарии]])</f>
        <v>25</v>
      </c>
      <c r="F9" s="12">
        <f>Таблица3[[#This Row],[Duration]]+Таблица3[[#This Row],[Think time
Общий на сценарий]]</f>
        <v>25.908000000000001</v>
      </c>
      <c r="G9" s="11">
        <v>74</v>
      </c>
      <c r="H9" s="28">
        <v>2</v>
      </c>
      <c r="I9" s="23">
        <f>Таблица3[[#This Row],[Количество
пользователей]]/SUM(Таблица3[Количество
пользователей])</f>
        <v>0.2</v>
      </c>
      <c r="J9" s="31">
        <f>Таблица3[[#This Row],[Количество
пользователей]]*(60/Таблица3[[#This Row],[Pacing]])</f>
        <v>1.6216216216216217</v>
      </c>
    </row>
    <row r="10" spans="2:10" x14ac:dyDescent="0.25">
      <c r="B10" s="25" t="s">
        <v>38</v>
      </c>
    </row>
    <row r="15" spans="2:10" ht="45" x14ac:dyDescent="0.25">
      <c r="B15" s="5" t="s">
        <v>33</v>
      </c>
      <c r="C15" s="6" t="s">
        <v>17</v>
      </c>
      <c r="D15" s="6" t="s">
        <v>25</v>
      </c>
      <c r="E15" s="6" t="s">
        <v>24</v>
      </c>
      <c r="F15" s="6" t="s">
        <v>35</v>
      </c>
      <c r="G15" s="6" t="s">
        <v>39</v>
      </c>
    </row>
    <row r="16" spans="2:10" x14ac:dyDescent="0.25">
      <c r="B16" s="26" t="s">
        <v>7</v>
      </c>
      <c r="C16" s="17" t="s">
        <v>3</v>
      </c>
      <c r="D16" s="18">
        <v>520</v>
      </c>
      <c r="E16" s="13">
        <f>SUMIFS(Таблица13[Интенсивность 
операций в час],Таблица13[Бизнес операция],Таблица1[[#This Row],[Бизнес операции]])</f>
        <v>511.44821575822334</v>
      </c>
      <c r="F16" s="13">
        <f>Таблица1[[#This Row],[Статистическая
интенсивность
запросов в час]]-Таблица1[[#This Row],[Расчетная
интенсивность
запросов в час]]</f>
        <v>8.5517842417766587</v>
      </c>
      <c r="G16" s="14">
        <f>1-Таблица1[[#This Row],[Статистическая
интенсивность
запросов в час]]/Таблица1[[#This Row],[Расчетная
интенсивность
запросов в час]]</f>
        <v>-1.6720723581171493E-2</v>
      </c>
    </row>
    <row r="17" spans="2:7" x14ac:dyDescent="0.25">
      <c r="B17" s="26" t="s">
        <v>5</v>
      </c>
      <c r="C17" s="17" t="s">
        <v>4</v>
      </c>
      <c r="D17" s="18">
        <v>422</v>
      </c>
      <c r="E17" s="13">
        <f>SUMIFS(Таблица13[Интенсивность 
операций в час],Таблица13[Бизнес операция],Таблица1[[#This Row],[Бизнес операции]])</f>
        <v>414.15091846092605</v>
      </c>
      <c r="F17" s="13">
        <f>Таблица1[[#This Row],[Статистическая
интенсивность
запросов в час]]-Таблица1[[#This Row],[Расчетная
интенсивность
запросов в час]]</f>
        <v>7.8490815390739499</v>
      </c>
      <c r="G17" s="14">
        <f>1-Таблица1[[#This Row],[Статистическая
интенсивность
запросов в час]]/Таблица1[[#This Row],[Расчетная
интенсивность
запросов в час]]</f>
        <v>-1.8952225358434216E-2</v>
      </c>
    </row>
    <row r="18" spans="2:7" x14ac:dyDescent="0.25">
      <c r="B18" s="26" t="s">
        <v>3</v>
      </c>
      <c r="C18" s="17" t="s">
        <v>5</v>
      </c>
      <c r="D18" s="18">
        <v>326</v>
      </c>
      <c r="E18" s="13">
        <f>SUMIFS(Таблица13[Интенсивность 
операций в час],Таблица13[Бизнес операция],Таблица1[[#This Row],[Бизнес операции]])</f>
        <v>315.94492969803656</v>
      </c>
      <c r="F18" s="13">
        <f>Таблица1[[#This Row],[Статистическая
интенсивность
запросов в час]]-Таблица1[[#This Row],[Расчетная
интенсивность
запросов в час]]</f>
        <v>10.05507030196344</v>
      </c>
      <c r="G18" s="14">
        <f>1-Таблица1[[#This Row],[Статистическая
интенсивность
запросов в час]]/Таблица1[[#This Row],[Расчетная
интенсивность
запросов в час]]</f>
        <v>-3.1825389037176688E-2</v>
      </c>
    </row>
    <row r="19" spans="2:7" x14ac:dyDescent="0.25">
      <c r="B19" s="26" t="s">
        <v>4</v>
      </c>
      <c r="C19" s="17" t="s">
        <v>7</v>
      </c>
      <c r="D19" s="18">
        <v>305</v>
      </c>
      <c r="E19" s="13">
        <f>SUMIFS(Таблица13[Интенсивность 
операций в час],Таблица13[Бизнес операция],Таблица1[[#This Row],[Бизнес операции]])</f>
        <v>288.18774445893087</v>
      </c>
      <c r="F19" s="13">
        <f>Таблица1[[#This Row],[Статистическая
интенсивность
запросов в час]]-Таблица1[[#This Row],[Расчетная
интенсивность
запросов в час]]</f>
        <v>16.812255541069135</v>
      </c>
      <c r="G19" s="14">
        <f>1-Таблица1[[#This Row],[Статистическая
интенсивность
запросов в час]]/Таблица1[[#This Row],[Расчетная
интенсивность
запросов в час]]</f>
        <v>-5.8337857401375537E-2</v>
      </c>
    </row>
    <row r="20" spans="2:7" x14ac:dyDescent="0.25">
      <c r="B20" s="26" t="s">
        <v>8</v>
      </c>
      <c r="C20" s="17" t="s">
        <v>8</v>
      </c>
      <c r="D20" s="18">
        <v>282</v>
      </c>
      <c r="E20" s="13">
        <f>SUMIFS(Таблица13[Интенсивность 
операций в час],Таблица13[Бизнес операция],Таблица1[[#This Row],[Бизнес операции]])</f>
        <v>288.18774445893087</v>
      </c>
      <c r="F20" s="13">
        <f>Таблица1[[#This Row],[Статистическая
интенсивность
запросов в час]]-Таблица1[[#This Row],[Расчетная
интенсивность
запросов в час]]</f>
        <v>-6.1877444589308652</v>
      </c>
      <c r="G20" s="14">
        <f>1-Таблица1[[#This Row],[Статистическая
интенсивность
запросов в час]]/Таблица1[[#This Row],[Расчетная
интенсивность
запросов в час]]</f>
        <v>2.1471226927252895E-2</v>
      </c>
    </row>
    <row r="21" spans="2:7" x14ac:dyDescent="0.25">
      <c r="B21" s="26" t="s">
        <v>38</v>
      </c>
      <c r="C21" s="17" t="s">
        <v>10</v>
      </c>
      <c r="D21" s="18">
        <v>270</v>
      </c>
      <c r="E21" s="13">
        <f>SUMIFS(Таблица13[Интенсивность 
операций в час],Таблица13[Бизнес операция],Таблица1[[#This Row],[Бизнес операции]])</f>
        <v>288.18774445893087</v>
      </c>
      <c r="F21" s="13">
        <f>Таблица1[[#This Row],[Статистическая
интенсивность
запросов в час]]-Таблица1[[#This Row],[Расчетная
интенсивность
запросов в час]]</f>
        <v>-18.187744458930865</v>
      </c>
      <c r="G21" s="14">
        <f>1-Таблица1[[#This Row],[Статистическая
интенсивность
запросов в час]]/Таблица1[[#This Row],[Расчетная
интенсивность
запросов в час]]</f>
        <v>6.3110749185667614E-2</v>
      </c>
    </row>
    <row r="22" spans="2:7" x14ac:dyDescent="0.25">
      <c r="B22" s="26" t="s">
        <v>10</v>
      </c>
      <c r="C22" s="17" t="s">
        <v>9</v>
      </c>
      <c r="D22" s="18">
        <v>175</v>
      </c>
      <c r="E22" s="13">
        <f>SUMIFS(Таблица13[Интенсивность 
операций в час],Таблица13[Бизнес операция],Таблица1[[#This Row],[Бизнес операции]])</f>
        <v>166.15384615384616</v>
      </c>
      <c r="F22" s="13">
        <f>Таблица1[[#This Row],[Статистическая
интенсивность
запросов в час]]-Таблица1[[#This Row],[Расчетная
интенсивность
запросов в час]]</f>
        <v>8.8461538461538396</v>
      </c>
      <c r="G22" s="14">
        <f>1-Таблица1[[#This Row],[Статистическая
интенсивность
запросов в час]]/Таблица1[[#This Row],[Расчетная
интенсивность
запросов в час]]</f>
        <v>-5.32407407407407E-2</v>
      </c>
    </row>
    <row r="23" spans="2:7" x14ac:dyDescent="0.25">
      <c r="B23" s="26" t="s">
        <v>9</v>
      </c>
      <c r="C23" s="17" t="s">
        <v>12</v>
      </c>
      <c r="D23" s="18">
        <v>280</v>
      </c>
      <c r="E23" s="13">
        <f>SUMIFS(Таблица13[Интенсивность 
операций в час],Таблица13[Бизнес операция],Таблица1[[#This Row],[Бизнес операции]])</f>
        <v>281.97617508541879</v>
      </c>
      <c r="F23" s="13">
        <f>Таблица1[[#This Row],[Статистическая
интенсивность
запросов в час]]-Таблица1[[#This Row],[Расчетная
интенсивность
запросов в час]]</f>
        <v>-1.9761750854187881</v>
      </c>
      <c r="G23" s="14">
        <f>1-Таблица1[[#This Row],[Статистическая
интенсивность
запросов в час]]/Таблица1[[#This Row],[Расчетная
интенсивность
запросов в час]]</f>
        <v>7.0083051691163245E-3</v>
      </c>
    </row>
    <row r="24" spans="2:7" x14ac:dyDescent="0.25">
      <c r="B24" s="26" t="s">
        <v>12</v>
      </c>
      <c r="C24" s="17" t="s">
        <v>27</v>
      </c>
      <c r="D24" s="18">
        <v>73</v>
      </c>
      <c r="E24" s="13">
        <f>SUMIFS(Таблица13[Интенсивность 
операций в час],Таблица13[Бизнес операция],Таблица1[[#This Row],[Бизнес операции]])</f>
        <v>73.469387755102048</v>
      </c>
      <c r="F24" s="13">
        <f>Таблица1[[#This Row],[Статистическая
интенсивность
запросов в час]]-Таблица1[[#This Row],[Расчетная
интенсивность
запросов в час]]</f>
        <v>-0.46938775510204778</v>
      </c>
      <c r="G24" s="14">
        <f>1-Таблица1[[#This Row],[Статистическая
интенсивность
запросов в час]]/Таблица1[[#This Row],[Расчетная
интенсивность
запросов в час]]</f>
        <v>6.3888888888889994E-3</v>
      </c>
    </row>
    <row r="25" spans="2:7" x14ac:dyDescent="0.25">
      <c r="B25" s="26" t="s">
        <v>27</v>
      </c>
      <c r="C25" s="17" t="s">
        <v>29</v>
      </c>
      <c r="D25" s="18">
        <v>97</v>
      </c>
      <c r="E25" s="13">
        <f>SUMIFS(Таблица13[Интенсивность 
операций в час],Таблица13[Бизнес операция],Таблица1[[#This Row],[Бизнес операции]])</f>
        <v>97.297297297297305</v>
      </c>
      <c r="F25" s="13">
        <f>Таблица1[[#This Row],[Статистическая
интенсивность
запросов в час]]-Таблица1[[#This Row],[Расчетная
интенсивность
запросов в час]]</f>
        <v>-0.29729729729730536</v>
      </c>
      <c r="G25" s="14">
        <f>1-Таблица1[[#This Row],[Статистическая
интенсивность
запросов в час]]/Таблица1[[#This Row],[Расчетная
интенсивность
запросов в час]]</f>
        <v>3.0555555555555891E-3</v>
      </c>
    </row>
    <row r="26" spans="2:7" x14ac:dyDescent="0.25">
      <c r="B26" s="26" t="s">
        <v>29</v>
      </c>
      <c r="C26" s="17" t="s">
        <v>30</v>
      </c>
      <c r="D26" s="18">
        <v>97</v>
      </c>
      <c r="E26" s="13">
        <f>SUMIFS(Таблица13[Интенсивность 
операций в час],Таблица13[Бизнес операция],Таблица1[[#This Row],[Бизнес операции]])</f>
        <v>97.297297297297305</v>
      </c>
      <c r="F26" s="13">
        <f>Таблица1[[#This Row],[Статистическая
интенсивность
запросов в час]]-Таблица1[[#This Row],[Расчетная
интенсивность
запросов в час]]</f>
        <v>-0.29729729729730536</v>
      </c>
      <c r="G26" s="14">
        <f>1-Таблица1[[#This Row],[Статистическая
интенсивность
запросов в час]]/Таблица1[[#This Row],[Расчетная
интенсивность
запросов в час]]</f>
        <v>3.0555555555555891E-3</v>
      </c>
    </row>
    <row r="27" spans="2:7" x14ac:dyDescent="0.25">
      <c r="B27" s="26" t="s">
        <v>30</v>
      </c>
      <c r="C27" s="17" t="s">
        <v>31</v>
      </c>
      <c r="D27" s="18">
        <v>97</v>
      </c>
      <c r="E27" s="13">
        <f>SUMIFS(Таблица13[Интенсивность 
операций в час],Таблица13[Бизнес операция],Таблица1[[#This Row],[Бизнес операции]])</f>
        <v>97.297297297297305</v>
      </c>
      <c r="F27" s="13">
        <f>Таблица1[[#This Row],[Статистическая
интенсивность
запросов в час]]-Таблица1[[#This Row],[Расчетная
интенсивность
запросов в час]]</f>
        <v>-0.29729729729730536</v>
      </c>
      <c r="G27" s="14">
        <f>1-Таблица1[[#This Row],[Статистическая
интенсивность
запросов в час]]/Таблица1[[#This Row],[Расчетная
интенсивность
запросов в час]]</f>
        <v>3.0555555555555891E-3</v>
      </c>
    </row>
    <row r="28" spans="2:7" x14ac:dyDescent="0.25">
      <c r="B28" s="26" t="s">
        <v>31</v>
      </c>
    </row>
  </sheetData>
  <mergeCells count="1">
    <mergeCell ref="C2:G2"/>
  </mergeCells>
  <conditionalFormatting sqref="G16:G27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{D4F709D9-FB4B-4790-AA96-7A22EE34A5A9}</x14:id>
        </ext>
      </extLst>
    </cfRule>
  </conditionalFormatting>
  <pageMargins left="0.7" right="0.7" top="0.75" bottom="0.75" header="0.3" footer="0.3"/>
  <pageSetup paperSize="9" orientation="portrait"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F709D9-FB4B-4790-AA96-7A22EE34A5A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G16:G27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Шаг 1</vt:lpstr>
      <vt:lpstr>Шаг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Aser_i7</dc:creator>
  <cp:lastModifiedBy>Aser_i7</cp:lastModifiedBy>
  <dcterms:created xsi:type="dcterms:W3CDTF">2024-10-14T18:56:27Z</dcterms:created>
  <dcterms:modified xsi:type="dcterms:W3CDTF">2024-10-17T19:43:48Z</dcterms:modified>
</cp:coreProperties>
</file>